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24 in 26\Project_Aegis_ISO27001_Governance_Portfolio\04_Risk_Register\"/>
    </mc:Choice>
  </mc:AlternateContent>
  <xr:revisionPtr revIDLastSave="0" documentId="13_ncr:1_{7EE28AC3-4F14-44CB-99B4-30F7FE465565}" xr6:coauthVersionLast="47" xr6:coauthVersionMax="47" xr10:uidLastSave="{00000000-0000-0000-0000-000000000000}"/>
  <bookViews>
    <workbookView xWindow="-108" yWindow="-108" windowWidth="23256" windowHeight="13176" activeTab="1" xr2:uid="{AB88D454-88C4-43E7-80FA-0ACCADCB132B}"/>
  </bookViews>
  <sheets>
    <sheet name="Gap analysis tracker" sheetId="1" r:id="rId1"/>
    <sheet name="Risk Assessmen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9" i="2"/>
  <c r="G6" i="2"/>
  <c r="F5" i="2"/>
  <c r="G5" i="2" s="1"/>
  <c r="F6" i="2"/>
  <c r="F3" i="2"/>
  <c r="F9" i="2"/>
  <c r="F10" i="2"/>
  <c r="G10" i="2" s="1"/>
  <c r="F7" i="2"/>
  <c r="G7" i="2" s="1"/>
  <c r="F4" i="2"/>
  <c r="G4" i="2" s="1"/>
  <c r="F8" i="2"/>
  <c r="G8" i="2" s="1"/>
  <c r="F2" i="2"/>
  <c r="G2" i="2" s="1"/>
  <c r="I3" i="1"/>
  <c r="I4" i="1"/>
  <c r="I5" i="1"/>
</calcChain>
</file>

<file path=xl/sharedStrings.xml><?xml version="1.0" encoding="utf-8"?>
<sst xmlns="http://schemas.openxmlformats.org/spreadsheetml/2006/main" count="179" uniqueCount="157">
  <si>
    <t>Control ID</t>
  </si>
  <si>
    <t>Control Name</t>
  </si>
  <si>
    <t>Requirement (What ISO says)</t>
  </si>
  <si>
    <t>Current Status</t>
  </si>
  <si>
    <t>Gap Description</t>
  </si>
  <si>
    <t>Remediation Plan</t>
  </si>
  <si>
    <t>Non Compliant</t>
  </si>
  <si>
    <t>Partially Compliant</t>
  </si>
  <si>
    <t>A.6.1</t>
  </si>
  <si>
    <t>Screening</t>
  </si>
  <si>
    <t>Background verification checks on all candidates prior to Employment</t>
  </si>
  <si>
    <t>No formal background check process prior to employment</t>
  </si>
  <si>
    <t>HR to contract a 3rd Party background check vendor. Update Hiring Policy</t>
  </si>
  <si>
    <t>A.6.2</t>
  </si>
  <si>
    <t>Emplyment contracts must state responsibilities for information security</t>
  </si>
  <si>
    <t>Contracts exists, but do not mention "Data Privacy" or "Security"</t>
  </si>
  <si>
    <t>Legal team to add "Information Security Clause" to all new offer letters</t>
  </si>
  <si>
    <t>A.6.3</t>
  </si>
  <si>
    <t>Information Security Awareness and Training</t>
  </si>
  <si>
    <t>Employees must receive security training upon hiring and regularly thereafter</t>
  </si>
  <si>
    <t>No training provided during onboarding</t>
  </si>
  <si>
    <t>Implement a "Phishing Awareness" module(KnowBe4) for day 1 orientation</t>
  </si>
  <si>
    <t>A.6.4</t>
  </si>
  <si>
    <t>A.6.7</t>
  </si>
  <si>
    <t>Disciplinary Process</t>
  </si>
  <si>
    <t>Organizations must establish a clear, fair, and effective disciplinary process to enforce information security policies.</t>
  </si>
  <si>
    <t>Compliant</t>
  </si>
  <si>
    <t>No gaps identified</t>
  </si>
  <si>
    <t>Maintain current process</t>
  </si>
  <si>
    <t>Remote working</t>
  </si>
  <si>
    <t>Remote working arrangements should not compromise the confidentiality, integrity, or availability of information.</t>
  </si>
  <si>
    <t>VPN and password policies applied; multi-factor authentication pending rollout to all staff</t>
  </si>
  <si>
    <t>Implement organization-wide multi-factor authentication for all remote access (VPN and remote systems) and update the remote working policy to mandate and enforce MFA usage.</t>
  </si>
  <si>
    <t>Status</t>
  </si>
  <si>
    <t>Assets associated with information (laptops, mobiles) must be identified and an inventory drawn up.</t>
  </si>
  <si>
    <t>Non-Compliant</t>
  </si>
  <si>
    <t>Inventory is manually tracked in multiple Excel sheets; no master list exists.</t>
  </si>
  <si>
    <t>Implement a centralized Asset Management Tool (or a master Sharepoint list).</t>
  </si>
  <si>
    <t>A.8.2</t>
  </si>
  <si>
    <t>Return of assets</t>
  </si>
  <si>
    <t>All employees must return organizational assets upon termination of employment.</t>
  </si>
  <si>
    <t>Process exists, but no "Sign-off" is collected from the employee confirming return.</t>
  </si>
  <si>
    <t>Update Offboarding Checklist to include a "Return Receipt" signature field.</t>
  </si>
  <si>
    <t>A.5.15</t>
  </si>
  <si>
    <t>Access control</t>
  </si>
  <si>
    <t>Rules to control physical and logical access to information and other associated assets.</t>
  </si>
  <si>
    <t>N/A</t>
  </si>
  <si>
    <t>No gaps identified. (Refer to Access Control Policy v1.2).</t>
  </si>
  <si>
    <t>Count</t>
  </si>
  <si>
    <t>A.5.1</t>
  </si>
  <si>
    <t>Policies for information security</t>
  </si>
  <si>
    <t>Information security policies and topic-specific policies shall be defined, approved by management, published, communicated to and acknowledged by relevant personnel and relevant interested parties.</t>
  </si>
  <si>
    <t>Policies exist but have not been reviewed in 2 years; no employee acknowledgement logs.</t>
  </si>
  <si>
    <t>Review all policies annually. Implement DocuSign for employee policy acknowledgement.</t>
  </si>
  <si>
    <t>A.5.7</t>
  </si>
  <si>
    <t>Threat intelligence</t>
  </si>
  <si>
    <t>Information relating to information security threats shall be collected and analysed to produce threat intelligence.</t>
  </si>
  <si>
    <t>No formal process to gather threat intel (e.g., CISA alerts, vendor advisories).</t>
  </si>
  <si>
    <t>Subscribe to CISA/CERT-In alerts and assign IT Lead to review weekly.</t>
  </si>
  <si>
    <t>A.5.10</t>
  </si>
  <si>
    <t>Acceptable use of information and other associated assets</t>
  </si>
  <si>
    <t>Rules for the acceptable use and procedures for handling information and other associated assets shall be identified, documented and implemented.</t>
  </si>
  <si>
    <t>A.5.18</t>
  </si>
  <si>
    <t>Access rights</t>
  </si>
  <si>
    <t>Access rights to information and other associated assets shall be provisioned, reviewed, modified and removed in accordance with the organization’s topic-specific policy on and rules for access control.</t>
  </si>
  <si>
    <t>Access is granted via email request; no formal ticketing or approval workflow exists.</t>
  </si>
  <si>
    <t>Implement JIRA Service Desk for access requests to ensure audit trail.</t>
  </si>
  <si>
    <t>A.5.23</t>
  </si>
  <si>
    <t>Information security for use of cloud services</t>
  </si>
  <si>
    <t>Processes for acquisition, use, management and exit from cloud services shall be established in accordance with the organization’s information security requirements.</t>
  </si>
  <si>
    <t>Developers spinning up AWS instances without security review (Shadow IT).</t>
  </si>
  <si>
    <t>Implement Cloud Access Security Broker (CASB) or restrict AWS root access.</t>
  </si>
  <si>
    <t>A.7.2</t>
  </si>
  <si>
    <t>Physical entry</t>
  </si>
  <si>
    <t>Security perimeters and entry controls shall be defined and managed to protect areas that contain information and other associated assets.</t>
  </si>
  <si>
    <t>A.7.4</t>
  </si>
  <si>
    <t>Physical security monitoring</t>
  </si>
  <si>
    <t>Premises shall be continuously monitored for unauthorized physical access.</t>
  </si>
  <si>
    <t>CCTV exists but retains footage for only 7 days (Policy requires 30 days).</t>
  </si>
  <si>
    <t>Upgrade storage capacity to support 30-day retention.</t>
  </si>
  <si>
    <t>A.7.7</t>
  </si>
  <si>
    <t>Clear desk and clear screen</t>
  </si>
  <si>
    <t>Clear desk rules for papers and removable storage media and clear screen rules for information processing facilities shall be defined and appropriately enforced.</t>
  </si>
  <si>
    <t>Multiple unlocked workstations found unattended; sensitive documents left on printers.</t>
  </si>
  <si>
    <t>Enforce 5-minute auto-lock via Group Policy (GPO). Conduct "Clean Desk" spot checks.</t>
  </si>
  <si>
    <t>Terms and Conditions of Employment</t>
  </si>
  <si>
    <t>No gaps identified. (Refer to AUP Policy v2.0).</t>
  </si>
  <si>
    <t>No gaps identified. (Biometric access logs reviewed quarterly).</t>
  </si>
  <si>
    <t>A.8.3</t>
  </si>
  <si>
    <t>Information access restriction</t>
  </si>
  <si>
    <t>Access to information and other associated assets shall be restricted in accordance with the topic-specific policy on access control.</t>
  </si>
  <si>
    <t>HR folder accessible to all IT staff (Excessive privilege).</t>
  </si>
  <si>
    <t>Restrict HR folder permission to "HR Group" only; remove "Domain Users".</t>
  </si>
  <si>
    <t>A.8.5</t>
  </si>
  <si>
    <t>Secure authentication</t>
  </si>
  <si>
    <t>Secure authentication technologies and procedures shall be implemented based on information access restrictions and the topic-specific policy on access control.</t>
  </si>
  <si>
    <t>No Multi-Factor Authentication (MFA) on O365 email accounts.</t>
  </si>
  <si>
    <t>Enforce MFA for all users via Microsoft Entra ID (formerly Azure AD).</t>
  </si>
  <si>
    <t>A.8.9</t>
  </si>
  <si>
    <t>Configuration management</t>
  </si>
  <si>
    <t>Configurations, including security configurations, of hardware, software, services and networks shall be established, documented, implemented, monitored and reviewed.</t>
  </si>
  <si>
    <t>Servers built manually; no standard "Golden Image" or hardening baseline (CIS Benchmarks).</t>
  </si>
  <si>
    <t>Adopt CIS Benchmarks for server hardening and use automated deployment scripts.</t>
  </si>
  <si>
    <t>A.8.28</t>
  </si>
  <si>
    <t>Secure coding</t>
  </si>
  <si>
    <t>Secure coding principles shall be applied to software development.</t>
  </si>
  <si>
    <t>No gaps identified. (Refer to SDLC Policy Section 4).</t>
  </si>
  <si>
    <t>Annex A.5 - Organizational Controls</t>
  </si>
  <si>
    <t>Annex A.6 - People Controls</t>
  </si>
  <si>
    <t>Annex A.7 - Physical Controls</t>
  </si>
  <si>
    <t>Annex A.8 - Technological Controls</t>
  </si>
  <si>
    <t>Asset Name</t>
  </si>
  <si>
    <t>Threat</t>
  </si>
  <si>
    <t>Vulnerability</t>
  </si>
  <si>
    <t>Confidentiality Impact (1-5)</t>
  </si>
  <si>
    <t>Likelihood (1-5)</t>
  </si>
  <si>
    <t>Risk Score</t>
  </si>
  <si>
    <t>Risk Level</t>
  </si>
  <si>
    <t>Treatment Plan</t>
  </si>
  <si>
    <t>A.5.9</t>
  </si>
  <si>
    <t>Inventory of information and other associated assets</t>
  </si>
  <si>
    <t>Employee Data</t>
  </si>
  <si>
    <t>Insider Threat / Fraud</t>
  </si>
  <si>
    <t>Company Network</t>
  </si>
  <si>
    <t>Phishing / Malware</t>
  </si>
  <si>
    <t>Laptops / Devices</t>
  </si>
  <si>
    <t>Theft / Lost Asset</t>
  </si>
  <si>
    <t>Governance</t>
  </si>
  <si>
    <t>Regulatory Fines</t>
  </si>
  <si>
    <t>IT Infrastructure</t>
  </si>
  <si>
    <t>Zero-Day Attacks</t>
  </si>
  <si>
    <t>AWS Environment</t>
  </si>
  <si>
    <t>Data Leak / Shadow IT</t>
  </si>
  <si>
    <t>Printed Documents</t>
  </si>
  <si>
    <t>Unauthorized Access</t>
  </si>
  <si>
    <t>O365 Email</t>
  </si>
  <si>
    <t>Credential Theft</t>
  </si>
  <si>
    <t>Production Servers</t>
  </si>
  <si>
    <t>Ransomware</t>
  </si>
  <si>
    <t>A.6.1 Screening: No formal background check process prior to employment.</t>
  </si>
  <si>
    <t>Mitigate: HR to contract 3rd party vendor for background checks immediately.</t>
  </si>
  <si>
    <t>A.6.3 Awareness: No security training provided during onboarding.</t>
  </si>
  <si>
    <t>Mitigate: Implement KnowBe4 training and mandate completion before network access is granted.</t>
  </si>
  <si>
    <t>A.5.9 Inventory: (Formerly A.8.1) Inventory is manually tracked; no master list.</t>
  </si>
  <si>
    <t>Mitigate: Deploy centralized Asset Management Tool (Snipe-IT or ServiceNow).</t>
  </si>
  <si>
    <t>A.5.1 Policies: Policies not reviewed in 2 years; no employee acknowledgement.</t>
  </si>
  <si>
    <t>Mitigate: Schedule annual policy review and implement DocuSign for acknowledgements.</t>
  </si>
  <si>
    <t>A.5.7 Threat Intel: No formal process to gather threat intelligence.</t>
  </si>
  <si>
    <t>Mitigate: IT Security Lead to subscribe to CERT-In/CISA alerts and review weekly.</t>
  </si>
  <si>
    <t>A.5.23 Cloud Services: Developers spinning up instances without security review.</t>
  </si>
  <si>
    <t>Mitigate: Implement Cloud Access Security Broker (CASB) and restrict root access.</t>
  </si>
  <si>
    <t>A.7.7 Clear Desk: Unlocked workstations and sensitive docs on printers.</t>
  </si>
  <si>
    <t>Mitigate: Enforce 5-minute auto-lock via GPO and conduct random "Clean Desk" audits.</t>
  </si>
  <si>
    <t>A.8.5 Secure Auth: No Multi-Factor Authentication (MFA) on email accounts.</t>
  </si>
  <si>
    <t>Mitigate: Enforce MFA for all users via Microsoft Entra ID (Conditional Access).</t>
  </si>
  <si>
    <t>A.8.9 Config Mgmt: Servers built manually; no hardening baseline.</t>
  </si>
  <si>
    <t>Mitigate: Adopt CIS Benchmarks for server hardening and automate using Ansible/Terraform.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</si>
</sst>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sz val="10"/>
      <color rgb="FF444746"/>
      <name val="Times New Roman"/>
      <family val="1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 readingOrder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wrapText="1" readingOrder="1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wrapText="1" readingOrder="1"/>
    </xf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2" fillId="0" borderId="0" xfId="0" applyFont="1"/>
    <xf numFmtId="0" fontId="5" fillId="2" borderId="2" xfId="0" applyFont="1" applyFill="1" applyBorder="1" applyAlignment="1">
      <alignment wrapText="1"/>
    </xf>
    <xf numFmtId="0" fontId="3" fillId="0" borderId="2" xfId="0" applyFont="1" applyBorder="1" applyAlignment="1">
      <alignment horizontal="left" vertical="center" wrapText="1" indent="1" readingOrder="1"/>
    </xf>
    <xf numFmtId="0" fontId="3" fillId="3" borderId="4" xfId="0" applyFont="1" applyFill="1" applyBorder="1" applyAlignment="1">
      <alignment wrapText="1" readingOrder="1"/>
    </xf>
    <xf numFmtId="0" fontId="3" fillId="3" borderId="3" xfId="0" applyFont="1" applyFill="1" applyBorder="1" applyAlignment="1">
      <alignment wrapText="1" readingOrder="1"/>
    </xf>
    <xf numFmtId="0" fontId="3" fillId="3" borderId="5" xfId="0" applyFont="1" applyFill="1" applyBorder="1" applyAlignment="1">
      <alignment wrapText="1" readingOrder="1"/>
    </xf>
    <xf numFmtId="0" fontId="2" fillId="3" borderId="4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</a:t>
            </a:r>
            <a:r>
              <a:rPr lang="en-US" baseline="0"/>
              <a:t> 27001 Onboarding Compliance Gap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'Gap analysis tracker'!$I$2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C1-49E0-B7D0-C2B38A8A95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C1-49E0-B7D0-C2B38A8A95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C1-49E0-B7D0-C2B38A8A957D}"/>
              </c:ext>
            </c:extLst>
          </c:dPt>
          <c:cat>
            <c:strRef>
              <c:f>'Gap analysis tracker'!$H$3:$H$5</c:f>
              <c:strCache>
                <c:ptCount val="3"/>
                <c:pt idx="0">
                  <c:v>Compliant</c:v>
                </c:pt>
                <c:pt idx="1">
                  <c:v>Non-Compliant</c:v>
                </c:pt>
                <c:pt idx="2">
                  <c:v>Partially Compliant</c:v>
                </c:pt>
              </c:strCache>
            </c:strRef>
          </c:cat>
          <c:val>
            <c:numRef>
              <c:f>'Gap analysis tracker'!$I$3:$I$5</c:f>
              <c:numCache>
                <c:formatCode>General</c:formatCode>
                <c:ptCount val="3"/>
                <c:pt idx="0">
                  <c:v>5</c:v>
                </c:pt>
                <c:pt idx="1">
                  <c:v>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9-4289-9189-7EF89A2FA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601980</xdr:colOff>
      <xdr:row>6</xdr:row>
      <xdr:rowOff>3810</xdr:rowOff>
    </xdr:from>
    <xdr:to>
      <xdr:col>11</xdr:col>
      <xdr:colOff>533400</xdr:colOff>
      <xdr:row>11</xdr:row>
      <xdr:rowOff>438150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6E92B9-0AAA-AFFF-C507-CFCA7DF95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AE85-9871-4AD6-8FD0-CD0F573CAAB5}">
  <dimension ref="A1:I25"/>
  <sheetViews>
    <sheetView zoomScale="120" zoomScaleNormal="120" workbookViewId="0">
      <pane ySplit="1" topLeftCell="A2" activePane="bottomLeft" state="frozen"/>
      <selection pane="bottomLeft" activeCell="D1" sqref="D1:D1048576"/>
    </sheetView>
  </sheetViews>
  <sheetFormatPr defaultRowHeight="13.8" x14ac:dyDescent="0.3"/>
  <cols>
    <col min="1" max="1" width="19.33203125" style="4" customWidth="1"/>
    <col min="2" max="2" width="18.109375" style="4" customWidth="1"/>
    <col min="3" max="3" width="36.44140625" style="4" customWidth="1"/>
    <col min="4" max="4" width="21.21875" style="4" customWidth="1"/>
    <col min="5" max="5" width="20.88671875" style="4" customWidth="1"/>
    <col min="6" max="6" width="38.77734375" style="4" customWidth="1"/>
    <col min="7" max="7" width="8.88671875" style="4"/>
    <col min="8" max="8" width="21.5546875" style="4" customWidth="1"/>
    <col min="9" max="9" width="19.44140625" style="4" customWidth="1"/>
    <col min="10" max="16384" width="8.88671875" style="4"/>
  </cols>
  <sheetData>
    <row r="1" spans="1:9" s="11" customFormat="1" ht="47.4" customHeight="1" thickBo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9" customFormat="1" ht="16.2" thickBot="1" x14ac:dyDescent="0.35">
      <c r="A2" s="17" t="s">
        <v>107</v>
      </c>
      <c r="B2" s="18"/>
      <c r="C2" s="18"/>
      <c r="D2" s="18"/>
      <c r="E2" s="18"/>
      <c r="F2" s="19"/>
      <c r="H2" s="12" t="s">
        <v>33</v>
      </c>
      <c r="I2" s="12" t="s">
        <v>48</v>
      </c>
    </row>
    <row r="3" spans="1:9" ht="69.599999999999994" thickBot="1" x14ac:dyDescent="0.3">
      <c r="A3" s="3" t="s">
        <v>49</v>
      </c>
      <c r="B3" s="3" t="s">
        <v>50</v>
      </c>
      <c r="C3" s="3" t="s">
        <v>51</v>
      </c>
      <c r="D3" s="5" t="s">
        <v>6</v>
      </c>
      <c r="E3" s="3" t="s">
        <v>52</v>
      </c>
      <c r="F3" s="3" t="s">
        <v>53</v>
      </c>
      <c r="H3" s="8" t="s">
        <v>26</v>
      </c>
      <c r="I3" s="9">
        <f>COUNTIF(D:D, "Compliant")</f>
        <v>5</v>
      </c>
    </row>
    <row r="4" spans="1:9" ht="55.8" thickBot="1" x14ac:dyDescent="0.3">
      <c r="A4" s="3" t="s">
        <v>54</v>
      </c>
      <c r="B4" s="3" t="s">
        <v>55</v>
      </c>
      <c r="C4" s="3" t="s">
        <v>56</v>
      </c>
      <c r="D4" s="5" t="s">
        <v>6</v>
      </c>
      <c r="E4" s="3" t="s">
        <v>57</v>
      </c>
      <c r="F4" s="3" t="s">
        <v>58</v>
      </c>
      <c r="H4" s="8" t="s">
        <v>35</v>
      </c>
      <c r="I4" s="9">
        <f>COUNTIF(D:D, "Non Compliant")</f>
        <v>9</v>
      </c>
    </row>
    <row r="5" spans="1:9" ht="55.8" thickBot="1" x14ac:dyDescent="0.3">
      <c r="A5" s="3" t="s">
        <v>119</v>
      </c>
      <c r="B5" s="3" t="s">
        <v>120</v>
      </c>
      <c r="C5" s="3" t="s">
        <v>34</v>
      </c>
      <c r="D5" s="2" t="s">
        <v>6</v>
      </c>
      <c r="E5" s="3" t="s">
        <v>36</v>
      </c>
      <c r="F5" s="3" t="s">
        <v>37</v>
      </c>
      <c r="H5" s="8" t="s">
        <v>7</v>
      </c>
      <c r="I5" s="9">
        <f>COUNTIF(D:D, "Partially Compliant")</f>
        <v>6</v>
      </c>
    </row>
    <row r="6" spans="1:9" ht="55.2" x14ac:dyDescent="0.25">
      <c r="A6" s="3" t="s">
        <v>59</v>
      </c>
      <c r="B6" s="3" t="s">
        <v>60</v>
      </c>
      <c r="C6" s="3" t="s">
        <v>61</v>
      </c>
      <c r="D6" s="5" t="s">
        <v>26</v>
      </c>
      <c r="E6" s="3" t="s">
        <v>86</v>
      </c>
      <c r="F6" s="3" t="s">
        <v>46</v>
      </c>
    </row>
    <row r="7" spans="1:9" ht="41.4" x14ac:dyDescent="0.25">
      <c r="A7" s="3" t="s">
        <v>43</v>
      </c>
      <c r="B7" s="3" t="s">
        <v>44</v>
      </c>
      <c r="C7" s="3" t="s">
        <v>45</v>
      </c>
      <c r="D7" s="2" t="s">
        <v>26</v>
      </c>
      <c r="E7" s="3" t="s">
        <v>47</v>
      </c>
      <c r="F7" s="3" t="s">
        <v>46</v>
      </c>
    </row>
    <row r="8" spans="1:9" ht="82.8" x14ac:dyDescent="0.25">
      <c r="A8" s="3" t="s">
        <v>62</v>
      </c>
      <c r="B8" s="3" t="s">
        <v>63</v>
      </c>
      <c r="C8" s="3" t="s">
        <v>64</v>
      </c>
      <c r="D8" s="5" t="s">
        <v>7</v>
      </c>
      <c r="E8" s="3" t="s">
        <v>65</v>
      </c>
      <c r="F8" s="3" t="s">
        <v>66</v>
      </c>
    </row>
    <row r="9" spans="1:9" ht="69" x14ac:dyDescent="0.25">
      <c r="A9" s="3" t="s">
        <v>67</v>
      </c>
      <c r="B9" s="3" t="s">
        <v>68</v>
      </c>
      <c r="C9" s="3" t="s">
        <v>69</v>
      </c>
      <c r="D9" s="5" t="s">
        <v>6</v>
      </c>
      <c r="E9" s="3" t="s">
        <v>70</v>
      </c>
      <c r="F9" s="3" t="s">
        <v>71</v>
      </c>
    </row>
    <row r="10" spans="1:9" x14ac:dyDescent="0.25">
      <c r="A10" s="17" t="s">
        <v>108</v>
      </c>
      <c r="B10" s="18"/>
      <c r="C10" s="18"/>
      <c r="D10" s="18"/>
      <c r="E10" s="18"/>
      <c r="F10" s="19"/>
    </row>
    <row r="11" spans="1:9" ht="41.4" x14ac:dyDescent="0.25">
      <c r="A11" s="1" t="s">
        <v>8</v>
      </c>
      <c r="B11" s="2" t="s">
        <v>9</v>
      </c>
      <c r="C11" s="2" t="s">
        <v>10</v>
      </c>
      <c r="D11" s="2" t="s">
        <v>6</v>
      </c>
      <c r="E11" s="2" t="s">
        <v>11</v>
      </c>
      <c r="F11" s="2" t="s">
        <v>12</v>
      </c>
    </row>
    <row r="12" spans="1:9" ht="41.4" x14ac:dyDescent="0.25">
      <c r="A12" s="2" t="s">
        <v>13</v>
      </c>
      <c r="B12" s="2" t="s">
        <v>85</v>
      </c>
      <c r="C12" s="2" t="s">
        <v>14</v>
      </c>
      <c r="D12" s="2" t="s">
        <v>7</v>
      </c>
      <c r="E12" s="2" t="s">
        <v>15</v>
      </c>
      <c r="F12" s="2" t="s">
        <v>16</v>
      </c>
    </row>
    <row r="13" spans="1:9" ht="41.4" x14ac:dyDescent="0.25">
      <c r="A13" s="2" t="s">
        <v>17</v>
      </c>
      <c r="B13" s="2" t="s">
        <v>18</v>
      </c>
      <c r="C13" s="2" t="s">
        <v>19</v>
      </c>
      <c r="D13" s="2" t="s">
        <v>6</v>
      </c>
      <c r="E13" s="2" t="s">
        <v>20</v>
      </c>
      <c r="F13" s="2" t="s">
        <v>21</v>
      </c>
    </row>
    <row r="14" spans="1:9" ht="41.4" x14ac:dyDescent="0.25">
      <c r="A14" s="2" t="s">
        <v>22</v>
      </c>
      <c r="B14" s="2" t="s">
        <v>24</v>
      </c>
      <c r="C14" s="2" t="s">
        <v>25</v>
      </c>
      <c r="D14" s="2" t="s">
        <v>26</v>
      </c>
      <c r="E14" s="2" t="s">
        <v>27</v>
      </c>
      <c r="F14" s="2" t="s">
        <v>28</v>
      </c>
    </row>
    <row r="15" spans="1:9" ht="69" x14ac:dyDescent="0.25">
      <c r="A15" s="2" t="s">
        <v>23</v>
      </c>
      <c r="B15" s="2" t="s">
        <v>29</v>
      </c>
      <c r="C15" s="2" t="s">
        <v>30</v>
      </c>
      <c r="D15" s="2" t="s">
        <v>7</v>
      </c>
      <c r="E15" s="2" t="s">
        <v>31</v>
      </c>
      <c r="F15" s="2" t="s">
        <v>32</v>
      </c>
    </row>
    <row r="16" spans="1:9" x14ac:dyDescent="0.25">
      <c r="A16" s="20" t="s">
        <v>109</v>
      </c>
      <c r="B16" s="21"/>
      <c r="C16" s="21"/>
      <c r="D16" s="21"/>
      <c r="E16" s="21"/>
      <c r="F16" s="22"/>
    </row>
    <row r="17" spans="1:6" ht="55.2" x14ac:dyDescent="0.25">
      <c r="A17" s="3" t="s">
        <v>72</v>
      </c>
      <c r="B17" s="3" t="s">
        <v>73</v>
      </c>
      <c r="C17" s="3" t="s">
        <v>74</v>
      </c>
      <c r="D17" s="5" t="s">
        <v>26</v>
      </c>
      <c r="E17" s="3" t="s">
        <v>87</v>
      </c>
      <c r="F17" s="3" t="s">
        <v>46</v>
      </c>
    </row>
    <row r="18" spans="1:6" ht="55.2" x14ac:dyDescent="0.25">
      <c r="A18" s="3" t="s">
        <v>75</v>
      </c>
      <c r="B18" s="3" t="s">
        <v>76</v>
      </c>
      <c r="C18" s="3" t="s">
        <v>77</v>
      </c>
      <c r="D18" s="5" t="s">
        <v>7</v>
      </c>
      <c r="E18" s="3" t="s">
        <v>78</v>
      </c>
      <c r="F18" s="3" t="s">
        <v>79</v>
      </c>
    </row>
    <row r="19" spans="1:6" ht="69" x14ac:dyDescent="0.25">
      <c r="A19" s="3" t="s">
        <v>80</v>
      </c>
      <c r="B19" s="3" t="s">
        <v>81</v>
      </c>
      <c r="C19" s="3" t="s">
        <v>82</v>
      </c>
      <c r="D19" s="5" t="s">
        <v>6</v>
      </c>
      <c r="E19" s="3" t="s">
        <v>83</v>
      </c>
      <c r="F19" s="3" t="s">
        <v>84</v>
      </c>
    </row>
    <row r="20" spans="1:6" x14ac:dyDescent="0.25">
      <c r="A20" s="17" t="s">
        <v>110</v>
      </c>
      <c r="B20" s="18"/>
      <c r="C20" s="18"/>
      <c r="D20" s="18"/>
      <c r="E20" s="18"/>
      <c r="F20" s="19"/>
    </row>
    <row r="21" spans="1:6" ht="55.2" x14ac:dyDescent="0.25">
      <c r="A21" s="3" t="s">
        <v>38</v>
      </c>
      <c r="B21" s="3" t="s">
        <v>39</v>
      </c>
      <c r="C21" s="3" t="s">
        <v>40</v>
      </c>
      <c r="D21" s="2" t="s">
        <v>7</v>
      </c>
      <c r="E21" s="3" t="s">
        <v>41</v>
      </c>
      <c r="F21" s="3" t="s">
        <v>42</v>
      </c>
    </row>
    <row r="22" spans="1:6" ht="41.4" x14ac:dyDescent="0.25">
      <c r="A22" s="6" t="s">
        <v>88</v>
      </c>
      <c r="B22" s="6" t="s">
        <v>89</v>
      </c>
      <c r="C22" s="6" t="s">
        <v>90</v>
      </c>
      <c r="D22" s="7" t="s">
        <v>7</v>
      </c>
      <c r="E22" s="6" t="s">
        <v>91</v>
      </c>
      <c r="F22" s="6" t="s">
        <v>92</v>
      </c>
    </row>
    <row r="23" spans="1:6" ht="55.2" x14ac:dyDescent="0.25">
      <c r="A23" s="6" t="s">
        <v>93</v>
      </c>
      <c r="B23" s="6" t="s">
        <v>94</v>
      </c>
      <c r="C23" s="6" t="s">
        <v>95</v>
      </c>
      <c r="D23" s="7" t="s">
        <v>6</v>
      </c>
      <c r="E23" s="6" t="s">
        <v>96</v>
      </c>
      <c r="F23" s="6" t="s">
        <v>97</v>
      </c>
    </row>
    <row r="24" spans="1:6" ht="69" x14ac:dyDescent="0.25">
      <c r="A24" s="6" t="s">
        <v>98</v>
      </c>
      <c r="B24" s="6" t="s">
        <v>99</v>
      </c>
      <c r="C24" s="6" t="s">
        <v>100</v>
      </c>
      <c r="D24" s="7" t="s">
        <v>6</v>
      </c>
      <c r="E24" s="6" t="s">
        <v>101</v>
      </c>
      <c r="F24" s="6" t="s">
        <v>102</v>
      </c>
    </row>
    <row r="25" spans="1:6" ht="41.4" x14ac:dyDescent="0.25">
      <c r="A25" s="6" t="s">
        <v>103</v>
      </c>
      <c r="B25" s="6" t="s">
        <v>104</v>
      </c>
      <c r="C25" s="6" t="s">
        <v>105</v>
      </c>
      <c r="D25" s="7" t="s">
        <v>26</v>
      </c>
      <c r="E25" s="6" t="s">
        <v>106</v>
      </c>
      <c r="F25" s="6" t="s">
        <v>46</v>
      </c>
    </row>
  </sheetData>
  <mergeCells count="4">
    <mergeCell ref="A2:F2"/>
    <mergeCell ref="A10:F10"/>
    <mergeCell ref="A16:F16"/>
    <mergeCell ref="A20:F20"/>
  </mergeCells>
  <conditionalFormatting sqref="D1 D3:D9 D17:D19 D21:D1048576">
    <cfRule type="cellIs" dxfId="16" priority="25" operator="equal">
      <formula>"Partially Compliant"</formula>
    </cfRule>
    <cfRule type="cellIs" dxfId="15" priority="26" operator="equal">
      <formula>"Non Compliant"</formula>
    </cfRule>
    <cfRule type="containsText" dxfId="14" priority="27" operator="containsText" text="Compliant">
      <formula>NOT(ISERROR(SEARCH("Compliant",D1)))</formula>
    </cfRule>
    <cfRule type="containsText" dxfId="13" priority="28" operator="containsText" text="Non Compliant">
      <formula>NOT(ISERROR(SEARCH("Non Compliant",D1)))</formula>
    </cfRule>
  </conditionalFormatting>
  <conditionalFormatting sqref="D11:D15">
    <cfRule type="cellIs" dxfId="12" priority="9" operator="equal">
      <formula>"Partially Compliant"</formula>
    </cfRule>
    <cfRule type="cellIs" dxfId="11" priority="10" operator="equal">
      <formula>"Non Compliant"</formula>
    </cfRule>
    <cfRule type="containsText" dxfId="10" priority="11" operator="containsText" text="Compliant">
      <formula>NOT(ISERROR(SEARCH("Compliant",D11)))</formula>
    </cfRule>
    <cfRule type="containsText" dxfId="9" priority="12" operator="containsText" text="Non Compliant">
      <formula>NOT(ISERROR(SEARCH("Non Compliant",D11)))</formula>
    </cfRule>
  </conditionalFormatting>
  <dataValidations count="1">
    <dataValidation type="list" allowBlank="1" showInputMessage="1" showErrorMessage="1" sqref="D1 D11:D15 D17:D19 D3:D9 D21:D1048576" xr:uid="{112857F9-BDCD-4C1F-AE17-289DB0AD2C62}">
      <formula1>"Compliant, Partially Compliant, Non Compliant, Not Applicable"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50A21-39C2-4C45-9165-677EB4471467}">
  <dimension ref="A1:I19"/>
  <sheetViews>
    <sheetView tabSelected="1" zoomScale="120" zoomScaleNormal="120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33.21875" customWidth="1"/>
    <col min="2" max="2" width="22.109375" customWidth="1"/>
    <col min="3" max="3" width="19.33203125" customWidth="1"/>
    <col min="4" max="4" width="16.21875" customWidth="1"/>
    <col min="5" max="5" width="11.6640625" customWidth="1"/>
    <col min="6" max="6" width="13.44140625" customWidth="1"/>
    <col min="7" max="7" width="14.109375" customWidth="1"/>
    <col min="8" max="8" width="20.77734375" customWidth="1"/>
  </cols>
  <sheetData>
    <row r="1" spans="1:9" ht="31.2" x14ac:dyDescent="0.3">
      <c r="A1" s="15" t="s">
        <v>111</v>
      </c>
      <c r="B1" s="15" t="s">
        <v>112</v>
      </c>
      <c r="C1" s="15" t="s">
        <v>113</v>
      </c>
      <c r="D1" s="15" t="s">
        <v>114</v>
      </c>
      <c r="E1" s="15" t="s">
        <v>115</v>
      </c>
      <c r="F1" s="15" t="s">
        <v>116</v>
      </c>
      <c r="G1" s="15" t="s">
        <v>117</v>
      </c>
      <c r="H1" s="15" t="s">
        <v>118</v>
      </c>
    </row>
    <row r="2" spans="1:9" ht="69" x14ac:dyDescent="0.3">
      <c r="A2" s="16" t="s">
        <v>135</v>
      </c>
      <c r="B2" s="16" t="s">
        <v>136</v>
      </c>
      <c r="C2" s="16" t="s">
        <v>153</v>
      </c>
      <c r="D2" s="2">
        <v>5</v>
      </c>
      <c r="E2" s="2">
        <v>5</v>
      </c>
      <c r="F2" s="2">
        <f t="shared" ref="F2:F10" si="0">D2*E2</f>
        <v>25</v>
      </c>
      <c r="G2" s="2" t="str">
        <f t="shared" ref="G2:G10" si="1">IF(F2&gt;=15,"CRITICAL",IF(F2&gt;=10,"HIGH",IF(F2&gt;5,"MEDIUM","LOW")))</f>
        <v>CRITICAL</v>
      </c>
      <c r="H2" s="16" t="s">
        <v>154</v>
      </c>
      <c r="I2" s="14"/>
    </row>
    <row r="3" spans="1:9" ht="69" x14ac:dyDescent="0.3">
      <c r="A3" s="16" t="s">
        <v>123</v>
      </c>
      <c r="B3" s="16" t="s">
        <v>124</v>
      </c>
      <c r="C3" s="16" t="s">
        <v>141</v>
      </c>
      <c r="D3" s="2">
        <v>5</v>
      </c>
      <c r="E3" s="2">
        <v>4</v>
      </c>
      <c r="F3" s="2">
        <f t="shared" si="0"/>
        <v>20</v>
      </c>
      <c r="G3" s="2" t="str">
        <f t="shared" si="1"/>
        <v>CRITICAL</v>
      </c>
      <c r="H3" s="16" t="s">
        <v>142</v>
      </c>
      <c r="I3" s="14"/>
    </row>
    <row r="4" spans="1:9" ht="69" x14ac:dyDescent="0.3">
      <c r="A4" s="16" t="s">
        <v>131</v>
      </c>
      <c r="B4" s="16" t="s">
        <v>132</v>
      </c>
      <c r="C4" s="16" t="s">
        <v>149</v>
      </c>
      <c r="D4" s="2">
        <v>5</v>
      </c>
      <c r="E4" s="2">
        <v>4</v>
      </c>
      <c r="F4" s="2">
        <f t="shared" si="0"/>
        <v>20</v>
      </c>
      <c r="G4" s="2" t="str">
        <f t="shared" si="1"/>
        <v>CRITICAL</v>
      </c>
      <c r="H4" s="16" t="s">
        <v>150</v>
      </c>
      <c r="I4" s="14"/>
    </row>
    <row r="5" spans="1:9" ht="69" x14ac:dyDescent="0.3">
      <c r="A5" s="16" t="s">
        <v>137</v>
      </c>
      <c r="B5" s="16" t="s">
        <v>138</v>
      </c>
      <c r="C5" s="16" t="s">
        <v>155</v>
      </c>
      <c r="D5" s="7">
        <v>5</v>
      </c>
      <c r="E5" s="7">
        <v>4</v>
      </c>
      <c r="F5" s="7">
        <f t="shared" si="0"/>
        <v>20</v>
      </c>
      <c r="G5" s="2" t="str">
        <f t="shared" si="1"/>
        <v>CRITICAL</v>
      </c>
      <c r="H5" s="16" t="s">
        <v>156</v>
      </c>
      <c r="I5" s="14"/>
    </row>
    <row r="6" spans="1:9" ht="69" x14ac:dyDescent="0.3">
      <c r="A6" s="16" t="s">
        <v>121</v>
      </c>
      <c r="B6" s="16" t="s">
        <v>122</v>
      </c>
      <c r="C6" s="16" t="s">
        <v>139</v>
      </c>
      <c r="D6" s="2">
        <v>5</v>
      </c>
      <c r="E6" s="2">
        <v>3</v>
      </c>
      <c r="F6" s="2">
        <f t="shared" si="0"/>
        <v>15</v>
      </c>
      <c r="G6" s="2" t="str">
        <f t="shared" si="1"/>
        <v>CRITICAL</v>
      </c>
      <c r="H6" s="16" t="s">
        <v>140</v>
      </c>
      <c r="I6" s="14"/>
    </row>
    <row r="7" spans="1:9" ht="55.2" x14ac:dyDescent="0.3">
      <c r="A7" s="16" t="s">
        <v>129</v>
      </c>
      <c r="B7" s="16" t="s">
        <v>130</v>
      </c>
      <c r="C7" s="16" t="s">
        <v>147</v>
      </c>
      <c r="D7" s="2">
        <v>5</v>
      </c>
      <c r="E7" s="2">
        <v>3</v>
      </c>
      <c r="F7" s="2">
        <f t="shared" si="0"/>
        <v>15</v>
      </c>
      <c r="G7" s="2" t="str">
        <f t="shared" si="1"/>
        <v>CRITICAL</v>
      </c>
      <c r="H7" s="16" t="s">
        <v>148</v>
      </c>
      <c r="I7" s="14"/>
    </row>
    <row r="8" spans="1:9" ht="69" x14ac:dyDescent="0.3">
      <c r="A8" s="16" t="s">
        <v>133</v>
      </c>
      <c r="B8" s="16" t="s">
        <v>134</v>
      </c>
      <c r="C8" s="16" t="s">
        <v>151</v>
      </c>
      <c r="D8" s="2">
        <v>3</v>
      </c>
      <c r="E8" s="2">
        <v>5</v>
      </c>
      <c r="F8" s="2">
        <f t="shared" si="0"/>
        <v>15</v>
      </c>
      <c r="G8" s="2" t="str">
        <f t="shared" si="1"/>
        <v>CRITICAL</v>
      </c>
      <c r="H8" s="16" t="s">
        <v>152</v>
      </c>
      <c r="I8" s="14"/>
    </row>
    <row r="9" spans="1:9" ht="69" x14ac:dyDescent="0.3">
      <c r="A9" s="16" t="s">
        <v>125</v>
      </c>
      <c r="B9" s="16" t="s">
        <v>126</v>
      </c>
      <c r="C9" s="16" t="s">
        <v>143</v>
      </c>
      <c r="D9" s="2">
        <v>3</v>
      </c>
      <c r="E9" s="2">
        <v>4</v>
      </c>
      <c r="F9" s="2">
        <f t="shared" si="0"/>
        <v>12</v>
      </c>
      <c r="G9" s="2" t="str">
        <f t="shared" si="1"/>
        <v>HIGH</v>
      </c>
      <c r="H9" s="16" t="s">
        <v>144</v>
      </c>
      <c r="I9" s="14"/>
    </row>
    <row r="10" spans="1:9" ht="69" x14ac:dyDescent="0.3">
      <c r="A10" s="16" t="s">
        <v>127</v>
      </c>
      <c r="B10" s="16" t="s">
        <v>128</v>
      </c>
      <c r="C10" s="16" t="s">
        <v>145</v>
      </c>
      <c r="D10" s="2">
        <v>4</v>
      </c>
      <c r="E10" s="2">
        <v>2</v>
      </c>
      <c r="F10" s="2">
        <f t="shared" si="0"/>
        <v>8</v>
      </c>
      <c r="G10" s="2" t="str">
        <f t="shared" si="1"/>
        <v>MEDIUM</v>
      </c>
      <c r="H10" s="16" t="s">
        <v>146</v>
      </c>
      <c r="I10" s="14"/>
    </row>
    <row r="11" spans="1:9" x14ac:dyDescent="0.3">
      <c r="A11" s="13"/>
      <c r="B11" s="13"/>
      <c r="C11" s="13"/>
      <c r="H11" s="13"/>
    </row>
    <row r="12" spans="1:9" x14ac:dyDescent="0.3">
      <c r="A12" s="13"/>
      <c r="B12" s="13"/>
      <c r="C12" s="13"/>
      <c r="H12" s="13"/>
    </row>
    <row r="13" spans="1:9" x14ac:dyDescent="0.3">
      <c r="A13" s="13"/>
      <c r="B13" s="13"/>
      <c r="C13" s="13"/>
      <c r="H13" s="13"/>
    </row>
    <row r="14" spans="1:9" x14ac:dyDescent="0.3">
      <c r="A14" s="13"/>
      <c r="B14" s="13"/>
      <c r="C14" s="13"/>
      <c r="H14" s="13"/>
    </row>
    <row r="15" spans="1:9" x14ac:dyDescent="0.3">
      <c r="A15" s="13"/>
      <c r="B15" s="13"/>
      <c r="C15" s="13"/>
      <c r="H15" s="13"/>
    </row>
    <row r="16" spans="1:9" x14ac:dyDescent="0.3">
      <c r="A16" s="13"/>
      <c r="B16" s="13"/>
      <c r="C16" s="13"/>
      <c r="H16" s="13"/>
    </row>
    <row r="17" spans="1:8" x14ac:dyDescent="0.3">
      <c r="A17" s="13"/>
      <c r="B17" s="13"/>
      <c r="C17" s="13"/>
      <c r="H17" s="13"/>
    </row>
    <row r="18" spans="1:8" x14ac:dyDescent="0.3">
      <c r="A18" s="13"/>
      <c r="B18" s="13"/>
      <c r="C18" s="13"/>
      <c r="H18" s="13"/>
    </row>
    <row r="19" spans="1:8" x14ac:dyDescent="0.3">
      <c r="A19" s="13"/>
      <c r="B19" s="13"/>
      <c r="C19" s="13"/>
      <c r="H19" s="13"/>
    </row>
  </sheetData>
  <sortState xmlns:xlrd2="http://schemas.microsoft.com/office/spreadsheetml/2017/richdata2" ref="A2:H19">
    <sortCondition descending="1" ref="F1:F19"/>
  </sortState>
  <conditionalFormatting sqref="G1:G1048576">
    <cfRule type="containsText" dxfId="8" priority="1" operator="containsText" text="LOW">
      <formula>NOT(ISERROR(SEARCH("LOW",G1)))</formula>
    </cfRule>
    <cfRule type="containsText" dxfId="7" priority="2" operator="containsText" text="HIGH">
      <formula>NOT(ISERROR(SEARCH("HIGH",G1)))</formula>
    </cfRule>
    <cfRule type="containsText" dxfId="6" priority="3" operator="containsText" text="HIGH">
      <formula>NOT(ISERROR(SEARCH("HIGH",G1)))</formula>
    </cfRule>
    <cfRule type="containsText" dxfId="5" priority="4" operator="containsText" text="LOW">
      <formula>NOT(ISERROR(SEARCH("LOW",G1)))</formula>
    </cfRule>
    <cfRule type="containsText" dxfId="4" priority="5" operator="containsText" text="MEDIUM">
      <formula>NOT(ISERROR(SEARCH("MEDIUM",G1)))</formula>
    </cfRule>
    <cfRule type="containsText" dxfId="3" priority="6" operator="containsText" text="CRITICAL">
      <formula>NOT(ISERROR(SEARCH("CRITICAL",G1)))</formula>
    </cfRule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" priority="8" operator="containsText" text="High">
      <formula>NOT(ISERROR(SEARCH("High",G1)))</formula>
    </cfRule>
    <cfRule type="containsText" dxfId="1" priority="9" operator="containsText" text="CRITICAL">
      <formula>NOT(ISERROR(SEARCH("CRITICAL",G1)))</formula>
    </cfRule>
    <cfRule type="containsText" dxfId="0" priority="10" operator="containsText" text="Critical">
      <formula>NOT(ISERROR(SEARCH("Critical",G1)))</formula>
    </cfRule>
  </conditionalFormatting>
  <dataValidations count="1">
    <dataValidation type="list" allowBlank="1" showInputMessage="1" showErrorMessage="1" sqref="D2:E9" xr:uid="{8C9AF81E-817D-4DBD-B42E-D87CE1357095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 analysis tracker</vt:lpstr>
      <vt:lpstr>Risk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Nrup Rawal</dc:creator>
  <cp:lastModifiedBy>Nrup Rawal</cp:lastModifiedBy>
  <dcterms:created xsi:type="dcterms:W3CDTF">2026-01-02T22:10:22Z</dcterms:created>
  <dcterms:modified xsi:type="dcterms:W3CDTF">2026-01-17T22:44:22Z</dcterms:modified>
</cp:coreProperties>
</file>